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e1dd2694127721d/Área de Trabalho/Power BI Completo - Do básico ao Avançado (Udemy)/"/>
    </mc:Choice>
  </mc:AlternateContent>
  <xr:revisionPtr revIDLastSave="0" documentId="8_{0E7F3759-DAD4-41D0-A783-8EA62820C1C9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CONTROLE" sheetId="2" r:id="rId1"/>
    <sheet name="DESPESAS" sheetId="1" r:id="rId2"/>
  </sheets>
  <definedNames>
    <definedName name="EmailEnvio">CONTROLE!$C$19</definedName>
    <definedName name="HorárioEnvio">CONTROLE!$C$21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8" i="1" l="1"/>
  <c r="K38" i="1"/>
  <c r="J37" i="1"/>
  <c r="K37" i="1"/>
  <c r="K5" i="1" l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J5" i="1"/>
  <c r="C8" i="2" s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D12" i="2" l="1"/>
  <c r="D8" i="2"/>
  <c r="D9" i="2"/>
  <c r="D7" i="2"/>
  <c r="C17" i="2"/>
  <c r="C9" i="2"/>
  <c r="C16" i="2"/>
  <c r="C12" i="2"/>
  <c r="E12" i="2" s="1"/>
  <c r="C7" i="2"/>
  <c r="D15" i="2"/>
  <c r="D11" i="2"/>
  <c r="C15" i="2"/>
  <c r="E15" i="2" s="1"/>
  <c r="C11" i="2"/>
  <c r="D6" i="2"/>
  <c r="D14" i="2"/>
  <c r="D10" i="2"/>
  <c r="E10" i="2" s="1"/>
  <c r="C6" i="2"/>
  <c r="C14" i="2"/>
  <c r="C10" i="2"/>
  <c r="D17" i="2"/>
  <c r="E17" i="2" s="1"/>
  <c r="D13" i="2"/>
  <c r="C13" i="2"/>
  <c r="D16" i="2"/>
  <c r="E16" i="2"/>
  <c r="E8" i="2"/>
  <c r="E9" i="2"/>
  <c r="E6" i="2" l="1"/>
  <c r="E7" i="2"/>
  <c r="E11" i="2"/>
  <c r="E14" i="2"/>
  <c r="E13" i="2"/>
</calcChain>
</file>

<file path=xl/sharedStrings.xml><?xml version="1.0" encoding="utf-8"?>
<sst xmlns="http://schemas.openxmlformats.org/spreadsheetml/2006/main" count="214" uniqueCount="42">
  <si>
    <t>O QUE/QUEM?</t>
  </si>
  <si>
    <t>VALOR</t>
  </si>
  <si>
    <t>FIXO OU VARIAVEL</t>
  </si>
  <si>
    <t>fixo</t>
  </si>
  <si>
    <t>E-mail Programado?</t>
  </si>
  <si>
    <t>E-mail programado em</t>
  </si>
  <si>
    <t>Agenda Lançada?</t>
  </si>
  <si>
    <t>Agenda lançada em</t>
  </si>
  <si>
    <t>Mês</t>
  </si>
  <si>
    <t>Ano</t>
  </si>
  <si>
    <t>CONTAS A PAGAR</t>
  </si>
  <si>
    <t>TOTAL A PAGAR POR MÊS</t>
  </si>
  <si>
    <t>E-mail</t>
  </si>
  <si>
    <t>VENCIMENTO</t>
  </si>
  <si>
    <t>Pago</t>
  </si>
  <si>
    <t>EM ABERTO</t>
  </si>
  <si>
    <t>PAGO</t>
  </si>
  <si>
    <t>ANO</t>
  </si>
  <si>
    <t>Conta de Luz</t>
  </si>
  <si>
    <t>Conta de Água</t>
  </si>
  <si>
    <t>Conta de Gás</t>
  </si>
  <si>
    <t>Amazon.com (Livros)</t>
  </si>
  <si>
    <t>Cartão de Crédito</t>
  </si>
  <si>
    <t>Imposto ICMS</t>
  </si>
  <si>
    <t>Imposto IPI</t>
  </si>
  <si>
    <t>Contador</t>
  </si>
  <si>
    <t>ISS Faturamento</t>
  </si>
  <si>
    <t>Netflix</t>
  </si>
  <si>
    <t>Farmácia</t>
  </si>
  <si>
    <t>TV a Cabo</t>
  </si>
  <si>
    <t>Celular Alessandro</t>
  </si>
  <si>
    <t>Celular Márcia</t>
  </si>
  <si>
    <t>variável</t>
  </si>
  <si>
    <t>Aluguel da casa</t>
  </si>
  <si>
    <t>Faculdade</t>
  </si>
  <si>
    <t>Horário de envio</t>
  </si>
  <si>
    <t/>
  </si>
  <si>
    <t>TOTAL</t>
  </si>
  <si>
    <t>Não</t>
  </si>
  <si>
    <t>aletrovato@gmail.com</t>
  </si>
  <si>
    <t>X</t>
  </si>
  <si>
    <t>Não programado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</si>
</sst>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&quot;R$ &quot;* #,##0.00_-;\-&quot;R$ &quot;* #,##0.00_-;_-&quot;R$ &quot;* &quot;-&quot;??_-;_-@_-"/>
    <numFmt numFmtId="165" formatCode="_-&quot;R$&quot;* #,##0.00_-;\-&quot;R$&quot;* #,##0.00_-;_-&quot;R$&quot;* &quot;-&quot;??_-;_-@_-"/>
    <numFmt numFmtId="166" formatCode="&quot;R$ &quot;#,##0.00"/>
    <numFmt numFmtId="167" formatCode="[$-F400]h:mm:ss\ AM/PM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2"/>
      <color theme="0"/>
      <name val="Calibri Light"/>
      <family val="2"/>
      <scheme val="maj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24">
    <xf numFmtId="0" fontId="0" fillId="0" borderId="0" xfId="0"/>
    <xf numFmtId="0" fontId="2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166" fontId="0" fillId="0" borderId="0" xfId="0" applyNumberFormat="1"/>
    <xf numFmtId="0" fontId="4" fillId="2" borderId="0" xfId="0" applyFont="1" applyFill="1" applyAlignment="1">
      <alignment horizontal="center" vertical="center"/>
    </xf>
    <xf numFmtId="164" fontId="2" fillId="0" borderId="1" xfId="0" applyNumberFormat="1" applyFont="1" applyBorder="1"/>
    <xf numFmtId="0" fontId="4" fillId="4" borderId="0" xfId="0" quotePrefix="1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67" fontId="4" fillId="5" borderId="0" xfId="0" applyNumberFormat="1" applyFont="1" applyFill="1" applyAlignment="1" applyProtection="1">
      <alignment horizontal="left" vertical="top"/>
      <protection locked="0"/>
    </xf>
    <xf numFmtId="0" fontId="8" fillId="0" borderId="2" xfId="0" applyFont="1" applyFill="1" applyBorder="1" applyAlignment="1">
      <alignment horizontal="center"/>
    </xf>
    <xf numFmtId="165" fontId="8" fillId="0" borderId="2" xfId="1" applyNumberFormat="1" applyFont="1" applyFill="1" applyBorder="1" applyAlignment="1">
      <alignment horizontal="center"/>
    </xf>
    <xf numFmtId="22" fontId="8" fillId="0" borderId="2" xfId="0" applyNumberFormat="1" applyFont="1" applyFill="1" applyBorder="1" applyAlignment="1">
      <alignment horizontal="center"/>
    </xf>
    <xf numFmtId="0" fontId="8" fillId="0" borderId="2" xfId="0" applyFont="1" applyFill="1" applyBorder="1" applyAlignment="1">
      <alignment horizontal="center" vertical="center"/>
    </xf>
    <xf numFmtId="14" fontId="8" fillId="0" borderId="3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 textRotation="90" wrapText="1"/>
    </xf>
    <xf numFmtId="14" fontId="8" fillId="0" borderId="2" xfId="0" applyNumberFormat="1" applyFont="1" applyFill="1" applyBorder="1" applyAlignment="1">
      <alignment horizontal="center"/>
    </xf>
    <xf numFmtId="0" fontId="8" fillId="0" borderId="2" xfId="0" applyNumberFormat="1" applyFont="1" applyFill="1" applyBorder="1" applyAlignment="1">
      <alignment horizontal="center" vertical="center"/>
    </xf>
    <xf numFmtId="0" fontId="4" fillId="5" borderId="0" xfId="0" applyFont="1" applyFill="1" applyAlignment="1" applyProtection="1">
      <alignment vertical="center"/>
      <protection locked="0"/>
    </xf>
    <xf numFmtId="0" fontId="5" fillId="2" borderId="0" xfId="0" applyFont="1" applyFill="1" applyAlignment="1">
      <alignment horizontal="center" vertical="center"/>
    </xf>
    <xf numFmtId="0" fontId="4" fillId="3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left" vertical="center" indent="48"/>
    </xf>
  </cellXfs>
  <cellStyles count="2">
    <cellStyle name="Moeda" xfId="1" builtinId="4"/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65" formatCode="_-&quot;R$&quot;* #,##0.00_-;\-&quot;R$&quot;* #,##0.00_-;_-&quot;R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9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371476</xdr:colOff>
      <xdr:row>1</xdr:row>
      <xdr:rowOff>9525</xdr:rowOff>
    </xdr:from>
    <xdr:to>
      <xdr:col>4</xdr:col>
      <xdr:colOff>1185314</xdr:colOff>
      <xdr:row>3</xdr:row>
      <xdr:rowOff>219075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8226" y="57150"/>
          <a:ext cx="813838" cy="504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266700</xdr:colOff>
          <xdr:row>1</xdr:row>
          <xdr:rowOff>85725</xdr:rowOff>
        </xdr:from>
        <xdr:to>
          <xdr:col>2</xdr:col>
          <xdr:colOff>742950</xdr:colOff>
          <xdr:row>1</xdr:row>
          <xdr:rowOff>600075</xdr:rowOff>
        </xdr:to>
        <xdr:sp macro="" textlink="">
          <xdr:nvSpPr>
            <xdr:cNvPr id="1025" name="btExecu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1028700</xdr:colOff>
          <xdr:row>1</xdr:row>
          <xdr:rowOff>85725</xdr:rowOff>
        </xdr:from>
        <xdr:to>
          <xdr:col>3</xdr:col>
          <xdr:colOff>390525</xdr:colOff>
          <xdr:row>1</xdr:row>
          <xdr:rowOff>600075</xdr:rowOff>
        </xdr:to>
        <xdr:sp macro="" textlink="">
          <xdr:nvSpPr>
            <xdr:cNvPr id="1026" name="btExecuta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6858444-EF86-4414-B4EA-7B4A122A1405}" name="Tabela1" displayName="Tabela1" ref="B4:L38" totalsRowShown="0" headerRowDxfId="13" dataDxfId="12" tableBorderDxfId="11">
  <autoFilter ref="B4:L38" xr:uid="{DFA6EB72-CA3C-469D-BD4A-07105757A8AA}"/>
  <tableColumns count="11">
    <tableColumn id="1" xr3:uid="{5689C8B6-5BFD-413C-8AA7-AFD2B3514AF7}" name="VENCIMENTO" dataDxfId="10"/>
    <tableColumn id="2" xr3:uid="{5BC720FC-9C5B-47B6-BD01-E84850CF859E}" name="O QUE/QUEM?" dataDxfId="9"/>
    <tableColumn id="3" xr3:uid="{6EA60D3E-6307-4105-9E57-DFB9A1EB4BA1}" name="VALOR" dataDxfId="8" dataCellStyle="Moeda"/>
    <tableColumn id="4" xr3:uid="{797AFAA5-200C-4E40-9047-0BF39E43ADBC}" name="FIXO OU VARIAVEL" dataDxfId="7"/>
    <tableColumn id="5" xr3:uid="{76F9D62D-8E85-4C01-BAF5-ADF6085173AB}" name="E-mail Programado?" dataDxfId="6"/>
    <tableColumn id="6" xr3:uid="{C1219990-D058-4143-99F3-A8AE673219E6}" name="E-mail programado em" dataDxfId="5"/>
    <tableColumn id="7" xr3:uid="{3E83BD09-F8CF-4B3C-9272-C8E036B3EEEB}" name="Agenda Lançada?" dataDxfId="4"/>
    <tableColumn id="8" xr3:uid="{32AC23DC-9E20-4122-8086-D923584F84EA}" name="Agenda lançada em" dataDxfId="3"/>
    <tableColumn id="9" xr3:uid="{0CE791A2-931E-46E3-ACD3-43062792EF4F}" name="Mês" dataDxfId="2">
      <calculatedColumnFormula>MONTH(Tabela1[[#This Row],[VENCIMENTO]])</calculatedColumnFormula>
    </tableColumn>
    <tableColumn id="10" xr3:uid="{0661AB5C-B50E-4542-B367-6BD212E04BE0}" name="Ano" dataDxfId="1">
      <calculatedColumnFormula>YEAR(Tabela1[[#This Row],[VENCIMENTO]])</calculatedColumnFormula>
    </tableColumn>
    <tableColumn id="11" xr3:uid="{5D37CDC8-FEE3-4748-98D7-9C54AFF2A385}" name="Pag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0C9C2-CC49-47CD-87F4-4D87214A7468}">
  <sheetPr codeName="Planilha2"/>
  <dimension ref="A1:F22"/>
  <sheetViews>
    <sheetView showGridLines="0" topLeftCell="A4" workbookViewId="0">
      <selection activeCell="C19" sqref="C19:D19"/>
    </sheetView>
  </sheetViews>
  <sheetFormatPr defaultColWidth="0" defaultRowHeight="15" zeroHeight="1" x14ac:dyDescent="0.25"/>
  <cols>
    <col min="1" max="1" width="2.28515625" customWidth="1"/>
    <col min="2" max="2" width="23.42578125" customWidth="1"/>
    <col min="3" max="4" width="20.7109375" customWidth="1"/>
    <col min="5" max="5" width="21.42578125" customWidth="1"/>
    <col min="6" max="6" width="2" customWidth="1"/>
    <col min="7" max="16384" width="11.85546875" hidden="1"/>
  </cols>
  <sheetData>
    <row r="1" spans="2:5" ht="3.75" customHeight="1" x14ac:dyDescent="0.25">
      <c r="B1" s="2"/>
    </row>
    <row r="2" spans="2:5" ht="18.75" x14ac:dyDescent="0.25">
      <c r="B2" s="5" t="s">
        <v>17</v>
      </c>
      <c r="C2" s="22">
        <v>2021</v>
      </c>
      <c r="D2" s="22"/>
    </row>
    <row r="3" spans="2:5" ht="4.5" customHeight="1" x14ac:dyDescent="0.25">
      <c r="B3" s="2"/>
    </row>
    <row r="4" spans="2:5" ht="21" x14ac:dyDescent="0.25">
      <c r="B4" s="21" t="s">
        <v>11</v>
      </c>
      <c r="C4" s="21"/>
      <c r="D4" s="21"/>
      <c r="E4" s="3"/>
    </row>
    <row r="5" spans="2:5" ht="18.75" x14ac:dyDescent="0.25">
      <c r="B5" s="7" t="s">
        <v>36</v>
      </c>
      <c r="C5" s="8" t="s">
        <v>15</v>
      </c>
      <c r="D5" s="8" t="s">
        <v>16</v>
      </c>
      <c r="E5" s="8" t="s">
        <v>37</v>
      </c>
    </row>
    <row r="6" spans="2:5" ht="18.75" x14ac:dyDescent="0.3">
      <c r="B6" s="1">
        <v>1</v>
      </c>
      <c r="C6" s="6">
        <f>SUMIFS(Tabela1[[#All],[VALOR]],
                       Tabela1[[#All],[Ano]],CONTROLE!$C$2,
                       Tabela1[[#All],[Mês]],CONTROLE!$B6,
                       Tabela1[[#All],[Pago]],"Não"
                      )</f>
        <v>0</v>
      </c>
      <c r="D6" s="6">
        <f>SUMIFS(Tabela1[[#All],[VALOR]],
                       Tabela1[[#All],[Ano]],CONTROLE!$C$2,
                       Tabela1[[#All],[Mês]],CONTROLE!$B6,
                       Tabela1[[#All],[Pago]],"Sim"
                      )</f>
        <v>0</v>
      </c>
      <c r="E6" s="6">
        <f>SUM(C6:D6)</f>
        <v>0</v>
      </c>
    </row>
    <row r="7" spans="2:5" ht="18.75" x14ac:dyDescent="0.3">
      <c r="B7" s="1">
        <v>2</v>
      </c>
      <c r="C7" s="6">
        <f>SUMIFS(Tabela1[[#All],[VALOR]],
                       Tabela1[[#All],[Ano]],CONTROLE!$C$2,
                       Tabela1[[#All],[Mês]],CONTROLE!$B7,
                       Tabela1[[#All],[Pago]],"Não"
                      )</f>
        <v>0</v>
      </c>
      <c r="D7" s="6">
        <f>SUMIFS(Tabela1[[#All],[VALOR]],
                       Tabela1[[#All],[Ano]],CONTROLE!$C$2,
                       Tabela1[[#All],[Mês]],CONTROLE!$B7,
                       Tabela1[[#All],[Pago]],"Sim"
                      )</f>
        <v>0</v>
      </c>
      <c r="E7" s="6">
        <f t="shared" ref="E7:E17" si="0">SUM(C7:D7)</f>
        <v>0</v>
      </c>
    </row>
    <row r="8" spans="2:5" ht="18.75" x14ac:dyDescent="0.3">
      <c r="B8" s="1">
        <v>3</v>
      </c>
      <c r="C8" s="6">
        <f>SUMIFS(Tabela1[[#All],[VALOR]],
                       Tabela1[[#All],[Ano]],CONTROLE!$C$2,
                       Tabela1[[#All],[Mês]],CONTROLE!$B8,
                       Tabela1[[#All],[Pago]],"Não"
                      )</f>
        <v>8309.32</v>
      </c>
      <c r="D8" s="6">
        <f>SUMIFS(Tabela1[[#All],[VALOR]],
                       Tabela1[[#All],[Ano]],CONTROLE!$C$2,
                       Tabela1[[#All],[Mês]],CONTROLE!$B8,
                       Tabela1[[#All],[Pago]],"Sim"
                      )</f>
        <v>0</v>
      </c>
      <c r="E8" s="6">
        <f t="shared" si="0"/>
        <v>8309.32</v>
      </c>
    </row>
    <row r="9" spans="2:5" ht="18.75" x14ac:dyDescent="0.3">
      <c r="B9" s="1">
        <v>4</v>
      </c>
      <c r="C9" s="6">
        <f>SUMIFS(Tabela1[[#All],[VALOR]],
                       Tabela1[[#All],[Ano]],CONTROLE!$C$2,
                       Tabela1[[#All],[Mês]],CONTROLE!$B9,
                       Tabela1[[#All],[Pago]],"Não"
                      )</f>
        <v>8329.8099999999977</v>
      </c>
      <c r="D9" s="6">
        <f>SUMIFS(Tabela1[[#All],[VALOR]],
                       Tabela1[[#All],[Ano]],CONTROLE!$C$2,
                       Tabela1[[#All],[Mês]],CONTROLE!$B9,
                       Tabela1[[#All],[Pago]],"Sim"
                      )</f>
        <v>0</v>
      </c>
      <c r="E9" s="6">
        <f t="shared" si="0"/>
        <v>8329.8099999999977</v>
      </c>
    </row>
    <row r="10" spans="2:5" ht="18.75" x14ac:dyDescent="0.3">
      <c r="B10" s="1">
        <v>5</v>
      </c>
      <c r="C10" s="6">
        <f>SUMIFS(Tabela1[[#All],[VALOR]],
                       Tabela1[[#All],[Ano]],CONTROLE!$C$2,
                       Tabela1[[#All],[Mês]],CONTROLE!$B10,
                       Tabela1[[#All],[Pago]],"Não"
                      )</f>
        <v>79.900000000000006</v>
      </c>
      <c r="D10" s="6">
        <f>SUMIFS(Tabela1[[#All],[VALOR]],
                       Tabela1[[#All],[Ano]],CONTROLE!$C$2,
                       Tabela1[[#All],[Mês]],CONTROLE!$B10,
                       Tabela1[[#All],[Pago]],"Sim"
                      )</f>
        <v>0</v>
      </c>
      <c r="E10" s="6">
        <f t="shared" si="0"/>
        <v>79.900000000000006</v>
      </c>
    </row>
    <row r="11" spans="2:5" ht="18.75" x14ac:dyDescent="0.3">
      <c r="B11" s="1">
        <v>6</v>
      </c>
      <c r="C11" s="6">
        <f>SUMIFS(Tabela1[[#All],[VALOR]],
                       Tabela1[[#All],[Ano]],CONTROLE!$C$2,
                       Tabela1[[#All],[Mês]],CONTROLE!$B11,
                       Tabela1[[#All],[Pago]],"Não"
                      )</f>
        <v>79.900000000000006</v>
      </c>
      <c r="D11" s="6">
        <f>SUMIFS(Tabela1[[#All],[VALOR]],
                       Tabela1[[#All],[Ano]],CONTROLE!$C$2,
                       Tabela1[[#All],[Mês]],CONTROLE!$B11,
                       Tabela1[[#All],[Pago]],"Sim"
                      )</f>
        <v>0</v>
      </c>
      <c r="E11" s="6">
        <f t="shared" si="0"/>
        <v>79.900000000000006</v>
      </c>
    </row>
    <row r="12" spans="2:5" ht="18.75" x14ac:dyDescent="0.3">
      <c r="B12" s="1">
        <v>7</v>
      </c>
      <c r="C12" s="6">
        <f>SUMIFS(Tabela1[[#All],[VALOR]],
                       Tabela1[[#All],[Ano]],CONTROLE!$C$2,
                       Tabela1[[#All],[Mês]],CONTROLE!$B12,
                       Tabela1[[#All],[Pago]],"Não"
                      )</f>
        <v>0</v>
      </c>
      <c r="D12" s="6">
        <f>SUMIFS(Tabela1[[#All],[VALOR]],
                       Tabela1[[#All],[Ano]],CONTROLE!$C$2,
                       Tabela1[[#All],[Mês]],CONTROLE!$B12,
                       Tabela1[[#All],[Pago]],"Sim"
                      )</f>
        <v>0</v>
      </c>
      <c r="E12" s="6">
        <f t="shared" si="0"/>
        <v>0</v>
      </c>
    </row>
    <row r="13" spans="2:5" ht="18.75" x14ac:dyDescent="0.3">
      <c r="B13" s="1">
        <v>8</v>
      </c>
      <c r="C13" s="6">
        <f>SUMIFS(Tabela1[[#All],[VALOR]],
                       Tabela1[[#All],[Ano]],CONTROLE!$C$2,
                       Tabela1[[#All],[Mês]],CONTROLE!$B13,
                       Tabela1[[#All],[Pago]],"Não"
                      )</f>
        <v>0</v>
      </c>
      <c r="D13" s="6">
        <f>SUMIFS(Tabela1[[#All],[VALOR]],
                       Tabela1[[#All],[Ano]],CONTROLE!$C$2,
                       Tabela1[[#All],[Mês]],CONTROLE!$B13,
                       Tabela1[[#All],[Pago]],"Sim"
                      )</f>
        <v>0</v>
      </c>
      <c r="E13" s="6">
        <f t="shared" si="0"/>
        <v>0</v>
      </c>
    </row>
    <row r="14" spans="2:5" ht="18.75" x14ac:dyDescent="0.3">
      <c r="B14" s="1">
        <v>9</v>
      </c>
      <c r="C14" s="6">
        <f>SUMIFS(Tabela1[[#All],[VALOR]],
                       Tabela1[[#All],[Ano]],CONTROLE!$C$2,
                       Tabela1[[#All],[Mês]],CONTROLE!$B14,
                       Tabela1[[#All],[Pago]],"Não"
                      )</f>
        <v>0</v>
      </c>
      <c r="D14" s="6">
        <f>SUMIFS(Tabela1[[#All],[VALOR]],
                       Tabela1[[#All],[Ano]],CONTROLE!$C$2,
                       Tabela1[[#All],[Mês]],CONTROLE!$B14,
                       Tabela1[[#All],[Pago]],"Sim"
                      )</f>
        <v>0</v>
      </c>
      <c r="E14" s="6">
        <f t="shared" si="0"/>
        <v>0</v>
      </c>
    </row>
    <row r="15" spans="2:5" ht="18.75" x14ac:dyDescent="0.3">
      <c r="B15" s="1">
        <v>10</v>
      </c>
      <c r="C15" s="6">
        <f>SUMIFS(Tabela1[[#All],[VALOR]],
                       Tabela1[[#All],[Ano]],CONTROLE!$C$2,
                       Tabela1[[#All],[Mês]],CONTROLE!$B15,
                       Tabela1[[#All],[Pago]],"Não"
                      )</f>
        <v>0</v>
      </c>
      <c r="D15" s="6">
        <f>SUMIFS(Tabela1[[#All],[VALOR]],
                       Tabela1[[#All],[Ano]],CONTROLE!$C$2,
                       Tabela1[[#All],[Mês]],CONTROLE!$B15,
                       Tabela1[[#All],[Pago]],"Sim"
                      )</f>
        <v>0</v>
      </c>
      <c r="E15" s="6">
        <f t="shared" si="0"/>
        <v>0</v>
      </c>
    </row>
    <row r="16" spans="2:5" ht="18.75" x14ac:dyDescent="0.3">
      <c r="B16" s="1">
        <v>11</v>
      </c>
      <c r="C16" s="6">
        <f>SUMIFS(Tabela1[[#All],[VALOR]],
                       Tabela1[[#All],[Ano]],CONTROLE!$C$2,
                       Tabela1[[#All],[Mês]],CONTROLE!$B16,
                       Tabela1[[#All],[Pago]],"Não"
                      )</f>
        <v>0</v>
      </c>
      <c r="D16" s="6">
        <f>SUMIFS(Tabela1[[#All],[VALOR]],
                       Tabela1[[#All],[Ano]],CONTROLE!$C$2,
                       Tabela1[[#All],[Mês]],CONTROLE!$B16,
                       Tabela1[[#All],[Pago]],"Sim"
                      )</f>
        <v>0</v>
      </c>
      <c r="E16" s="6">
        <f t="shared" si="0"/>
        <v>0</v>
      </c>
    </row>
    <row r="17" spans="2:5" ht="18.75" x14ac:dyDescent="0.3">
      <c r="B17" s="1">
        <v>12</v>
      </c>
      <c r="C17" s="6">
        <f>SUMIFS(Tabela1[[#All],[VALOR]],
                       Tabela1[[#All],[Ano]],CONTROLE!$C$2,
                       Tabela1[[#All],[Mês]],CONTROLE!$B17,
                       Tabela1[[#All],[Pago]],"Não"
                      )</f>
        <v>0</v>
      </c>
      <c r="D17" s="6">
        <f>SUMIFS(Tabela1[[#All],[VALOR]],
                       Tabela1[[#All],[Ano]],CONTROLE!$C$2,
                       Tabela1[[#All],[Mês]],CONTROLE!$B17,
                       Tabela1[[#All],[Pago]],"Sim"
                      )</f>
        <v>0</v>
      </c>
      <c r="E17" s="6">
        <f t="shared" si="0"/>
        <v>0</v>
      </c>
    </row>
    <row r="18" spans="2:5" ht="6.75" customHeight="1" x14ac:dyDescent="0.25">
      <c r="B18" s="2"/>
      <c r="C18" s="4"/>
      <c r="D18" s="4"/>
    </row>
    <row r="19" spans="2:5" ht="18.75" x14ac:dyDescent="0.25">
      <c r="B19" s="5" t="s">
        <v>12</v>
      </c>
      <c r="C19" s="20" t="s">
        <v>39</v>
      </c>
      <c r="D19" s="20"/>
    </row>
    <row r="20" spans="2:5" ht="6.75" customHeight="1" x14ac:dyDescent="0.25"/>
    <row r="21" spans="2:5" ht="18.75" x14ac:dyDescent="0.25">
      <c r="B21" s="5" t="s">
        <v>35</v>
      </c>
      <c r="C21" s="9">
        <v>0.375</v>
      </c>
    </row>
    <row r="22" spans="2:5" ht="5.25" customHeight="1" x14ac:dyDescent="0.25"/>
  </sheetData>
  <sheetProtection sheet="1" selectLockedCells="1"/>
  <mergeCells count="3">
    <mergeCell ref="C19:D19"/>
    <mergeCell ref="B4:D4"/>
    <mergeCell ref="C2:D2"/>
  </mergeCells>
  <dataValidations count="1">
    <dataValidation type="list" allowBlank="1" showInputMessage="1" showErrorMessage="1" sqref="C2:D2" xr:uid="{9502361E-A099-48D0-8869-B778500A1554}">
      <formula1>"2021,2022,2023,2024,2025"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Q38"/>
  <sheetViews>
    <sheetView showGridLines="0" tabSelected="1" topLeftCell="A4" zoomScale="70" zoomScaleNormal="70" workbookViewId="0">
      <selection activeCell="I44" sqref="I44"/>
    </sheetView>
  </sheetViews>
  <sheetFormatPr defaultColWidth="0" defaultRowHeight="15" x14ac:dyDescent="0.25"/>
  <cols>
    <col min="1" max="1" width="0.85546875" customWidth="1"/>
    <col min="2" max="2" width="18.7109375" customWidth="1"/>
    <col min="3" max="3" width="35.42578125" bestFit="1" customWidth="1"/>
    <col min="4" max="4" width="19.85546875" customWidth="1"/>
    <col min="5" max="5" width="23.42578125" customWidth="1"/>
    <col min="6" max="6" width="8.28515625" style="2" bestFit="1" customWidth="1"/>
    <col min="7" max="7" width="22.140625" style="2" bestFit="1" customWidth="1"/>
    <col min="8" max="8" width="8.28515625" style="2" bestFit="1" customWidth="1"/>
    <col min="9" max="9" width="22.42578125" style="2" customWidth="1"/>
    <col min="10" max="11" width="9.140625" customWidth="1"/>
    <col min="12" max="12" width="11.28515625" customWidth="1"/>
    <col min="13" max="13" width="1" customWidth="1"/>
    <col min="14" max="14" width="23.42578125" style="2" hidden="1" customWidth="1"/>
    <col min="15" max="17" width="20.7109375" hidden="1" customWidth="1"/>
    <col min="18" max="16384" width="9.140625" hidden="1"/>
  </cols>
  <sheetData>
    <row r="1" spans="2:12" ht="4.5" customHeight="1" x14ac:dyDescent="0.25"/>
    <row r="2" spans="2:12" ht="51.75" customHeight="1" x14ac:dyDescent="0.25">
      <c r="B2" s="23" t="s">
        <v>10</v>
      </c>
      <c r="C2" s="23"/>
      <c r="D2" s="23"/>
      <c r="E2" s="23"/>
      <c r="F2" s="23"/>
      <c r="G2" s="23"/>
      <c r="H2" s="23"/>
      <c r="I2" s="23"/>
      <c r="J2" s="23"/>
      <c r="K2" s="23"/>
      <c r="L2" s="23"/>
    </row>
    <row r="3" spans="2:12" ht="4.5" customHeight="1" x14ac:dyDescent="0.25"/>
    <row r="4" spans="2:12" s="3" customFormat="1" ht="88.5" customHeight="1" x14ac:dyDescent="0.25">
      <c r="B4" s="15" t="s">
        <v>13</v>
      </c>
      <c r="C4" s="16" t="s">
        <v>0</v>
      </c>
      <c r="D4" s="16" t="s">
        <v>1</v>
      </c>
      <c r="E4" s="16" t="s">
        <v>2</v>
      </c>
      <c r="F4" s="17" t="s">
        <v>4</v>
      </c>
      <c r="G4" s="17" t="s">
        <v>5</v>
      </c>
      <c r="H4" s="17" t="s">
        <v>6</v>
      </c>
      <c r="I4" s="17" t="s">
        <v>7</v>
      </c>
      <c r="J4" s="17" t="s">
        <v>8</v>
      </c>
      <c r="K4" s="17" t="s">
        <v>9</v>
      </c>
      <c r="L4" s="16" t="s">
        <v>14</v>
      </c>
    </row>
    <row r="5" spans="2:12" ht="18.75" x14ac:dyDescent="0.3">
      <c r="B5" s="14">
        <v>44260</v>
      </c>
      <c r="C5" s="10" t="s">
        <v>33</v>
      </c>
      <c r="D5" s="11">
        <v>1680</v>
      </c>
      <c r="E5" s="10" t="s">
        <v>3</v>
      </c>
      <c r="F5" s="10" t="s">
        <v>40</v>
      </c>
      <c r="G5" s="12" t="s">
        <v>41</v>
      </c>
      <c r="H5" s="10" t="s">
        <v>40</v>
      </c>
      <c r="I5" s="12" t="s">
        <v>41</v>
      </c>
      <c r="J5" s="13">
        <f>MONTH(Tabela1[[#This Row],[VENCIMENTO]])</f>
        <v>3</v>
      </c>
      <c r="K5" s="13">
        <f>YEAR(Tabela1[[#This Row],[VENCIMENTO]])</f>
        <v>2021</v>
      </c>
      <c r="L5" s="13" t="s">
        <v>38</v>
      </c>
    </row>
    <row r="6" spans="2:12" ht="18.75" x14ac:dyDescent="0.3">
      <c r="B6" s="14">
        <v>44260</v>
      </c>
      <c r="C6" s="10" t="s">
        <v>34</v>
      </c>
      <c r="D6" s="11">
        <v>1399</v>
      </c>
      <c r="E6" s="10" t="s">
        <v>3</v>
      </c>
      <c r="F6" s="10" t="s">
        <v>40</v>
      </c>
      <c r="G6" s="10" t="s">
        <v>41</v>
      </c>
      <c r="H6" s="10" t="s">
        <v>40</v>
      </c>
      <c r="I6" s="18" t="s">
        <v>41</v>
      </c>
      <c r="J6" s="13">
        <f>MONTH(Tabela1[[#This Row],[VENCIMENTO]])</f>
        <v>3</v>
      </c>
      <c r="K6" s="13">
        <f>YEAR(Tabela1[[#This Row],[VENCIMENTO]])</f>
        <v>2021</v>
      </c>
      <c r="L6" s="13" t="s">
        <v>38</v>
      </c>
    </row>
    <row r="7" spans="2:12" ht="18.75" x14ac:dyDescent="0.3">
      <c r="B7" s="14">
        <v>44261</v>
      </c>
      <c r="C7" s="10" t="s">
        <v>18</v>
      </c>
      <c r="D7" s="11">
        <v>188.55</v>
      </c>
      <c r="E7" s="10" t="s">
        <v>32</v>
      </c>
      <c r="F7" s="10" t="s">
        <v>40</v>
      </c>
      <c r="G7" s="12" t="s">
        <v>41</v>
      </c>
      <c r="H7" s="10" t="s">
        <v>40</v>
      </c>
      <c r="I7" s="10" t="s">
        <v>41</v>
      </c>
      <c r="J7" s="13">
        <f>MONTH(Tabela1[[#This Row],[VENCIMENTO]])</f>
        <v>3</v>
      </c>
      <c r="K7" s="13">
        <f>YEAR(Tabela1[[#This Row],[VENCIMENTO]])</f>
        <v>2021</v>
      </c>
      <c r="L7" s="13" t="s">
        <v>38</v>
      </c>
    </row>
    <row r="8" spans="2:12" ht="18.75" x14ac:dyDescent="0.3">
      <c r="B8" s="14">
        <v>44268</v>
      </c>
      <c r="C8" s="10" t="s">
        <v>19</v>
      </c>
      <c r="D8" s="11">
        <v>54.67</v>
      </c>
      <c r="E8" s="10" t="s">
        <v>32</v>
      </c>
      <c r="F8" s="10" t="s">
        <v>40</v>
      </c>
      <c r="G8" s="12" t="s">
        <v>41</v>
      </c>
      <c r="H8" s="10" t="s">
        <v>40</v>
      </c>
      <c r="I8" s="10" t="s">
        <v>41</v>
      </c>
      <c r="J8" s="13">
        <f>MONTH(Tabela1[[#This Row],[VENCIMENTO]])</f>
        <v>3</v>
      </c>
      <c r="K8" s="13">
        <f>YEAR(Tabela1[[#This Row],[VENCIMENTO]])</f>
        <v>2021</v>
      </c>
      <c r="L8" s="13" t="s">
        <v>38</v>
      </c>
    </row>
    <row r="9" spans="2:12" ht="18.75" x14ac:dyDescent="0.3">
      <c r="B9" s="14">
        <v>44275</v>
      </c>
      <c r="C9" s="10" t="s">
        <v>20</v>
      </c>
      <c r="D9" s="11">
        <v>143</v>
      </c>
      <c r="E9" s="10" t="s">
        <v>32</v>
      </c>
      <c r="F9" s="10" t="s">
        <v>40</v>
      </c>
      <c r="G9" s="12" t="s">
        <v>41</v>
      </c>
      <c r="H9" s="10" t="s">
        <v>40</v>
      </c>
      <c r="I9" s="12" t="s">
        <v>41</v>
      </c>
      <c r="J9" s="13">
        <f>MONTH(Tabela1[[#This Row],[VENCIMENTO]])</f>
        <v>3</v>
      </c>
      <c r="K9" s="13">
        <f>YEAR(Tabela1[[#This Row],[VENCIMENTO]])</f>
        <v>2021</v>
      </c>
      <c r="L9" s="13" t="s">
        <v>38</v>
      </c>
    </row>
    <row r="10" spans="2:12" ht="18.75" x14ac:dyDescent="0.3">
      <c r="B10" s="14">
        <v>44286</v>
      </c>
      <c r="C10" s="10" t="s">
        <v>21</v>
      </c>
      <c r="D10" s="11">
        <v>74</v>
      </c>
      <c r="E10" s="10" t="s">
        <v>32</v>
      </c>
      <c r="F10" s="10" t="s">
        <v>40</v>
      </c>
      <c r="G10" s="12">
        <v>44276.564305555556</v>
      </c>
      <c r="H10" s="10" t="s">
        <v>40</v>
      </c>
      <c r="I10" s="12">
        <v>44276.40865740741</v>
      </c>
      <c r="J10" s="13">
        <f>MONTH(Tabela1[[#This Row],[VENCIMENTO]])</f>
        <v>3</v>
      </c>
      <c r="K10" s="13">
        <f>YEAR(Tabela1[[#This Row],[VENCIMENTO]])</f>
        <v>2021</v>
      </c>
      <c r="L10" s="13" t="s">
        <v>38</v>
      </c>
    </row>
    <row r="11" spans="2:12" ht="18.75" x14ac:dyDescent="0.3">
      <c r="B11" s="14">
        <v>44277</v>
      </c>
      <c r="C11" s="10" t="s">
        <v>22</v>
      </c>
      <c r="D11" s="11">
        <v>1777</v>
      </c>
      <c r="E11" s="10" t="s">
        <v>32</v>
      </c>
      <c r="F11" s="10" t="s">
        <v>40</v>
      </c>
      <c r="G11" s="12">
        <v>44276.564398148148</v>
      </c>
      <c r="H11" s="10" t="s">
        <v>40</v>
      </c>
      <c r="I11" s="12">
        <v>44276.408888888887</v>
      </c>
      <c r="J11" s="13">
        <f>MONTH(Tabela1[[#This Row],[VENCIMENTO]])</f>
        <v>3</v>
      </c>
      <c r="K11" s="13">
        <f>YEAR(Tabela1[[#This Row],[VENCIMENTO]])</f>
        <v>2021</v>
      </c>
      <c r="L11" s="13" t="s">
        <v>38</v>
      </c>
    </row>
    <row r="12" spans="2:12" ht="18.75" x14ac:dyDescent="0.3">
      <c r="B12" s="14">
        <v>44285</v>
      </c>
      <c r="C12" s="10" t="s">
        <v>23</v>
      </c>
      <c r="D12" s="11">
        <v>398</v>
      </c>
      <c r="E12" s="10" t="s">
        <v>32</v>
      </c>
      <c r="F12" s="10" t="s">
        <v>40</v>
      </c>
      <c r="G12" s="12">
        <v>44276.564409722225</v>
      </c>
      <c r="H12" s="10" t="s">
        <v>40</v>
      </c>
      <c r="I12" s="12">
        <v>44276.408888888887</v>
      </c>
      <c r="J12" s="13">
        <f>MONTH(Tabela1[[#This Row],[VENCIMENTO]])</f>
        <v>3</v>
      </c>
      <c r="K12" s="13">
        <f>YEAR(Tabela1[[#This Row],[VENCIMENTO]])</f>
        <v>2021</v>
      </c>
      <c r="L12" s="13" t="s">
        <v>38</v>
      </c>
    </row>
    <row r="13" spans="2:12" ht="18.75" x14ac:dyDescent="0.3">
      <c r="B13" s="14">
        <v>44285</v>
      </c>
      <c r="C13" s="10" t="s">
        <v>24</v>
      </c>
      <c r="D13" s="11">
        <v>288</v>
      </c>
      <c r="E13" s="10" t="s">
        <v>32</v>
      </c>
      <c r="F13" s="10" t="s">
        <v>40</v>
      </c>
      <c r="G13" s="12">
        <v>44276.564421296294</v>
      </c>
      <c r="H13" s="10" t="s">
        <v>40</v>
      </c>
      <c r="I13" s="12">
        <v>44276.408888888887</v>
      </c>
      <c r="J13" s="13">
        <f>MONTH(Tabela1[[#This Row],[VENCIMENTO]])</f>
        <v>3</v>
      </c>
      <c r="K13" s="13">
        <f>YEAR(Tabela1[[#This Row],[VENCIMENTO]])</f>
        <v>2021</v>
      </c>
      <c r="L13" s="13" t="s">
        <v>38</v>
      </c>
    </row>
    <row r="14" spans="2:12" ht="18.75" x14ac:dyDescent="0.3">
      <c r="B14" s="14">
        <v>44261</v>
      </c>
      <c r="C14" s="10" t="s">
        <v>25</v>
      </c>
      <c r="D14" s="11">
        <v>1095</v>
      </c>
      <c r="E14" s="10" t="s">
        <v>3</v>
      </c>
      <c r="F14" s="10" t="s">
        <v>40</v>
      </c>
      <c r="G14" s="12" t="s">
        <v>41</v>
      </c>
      <c r="H14" s="10" t="s">
        <v>40</v>
      </c>
      <c r="I14" s="10" t="s">
        <v>41</v>
      </c>
      <c r="J14" s="13">
        <f>MONTH(Tabela1[[#This Row],[VENCIMENTO]])</f>
        <v>3</v>
      </c>
      <c r="K14" s="13">
        <f>YEAR(Tabela1[[#This Row],[VENCIMENTO]])</f>
        <v>2021</v>
      </c>
      <c r="L14" s="13" t="s">
        <v>38</v>
      </c>
    </row>
    <row r="15" spans="2:12" ht="18.75" x14ac:dyDescent="0.3">
      <c r="B15" s="14">
        <v>44285</v>
      </c>
      <c r="C15" s="10" t="s">
        <v>26</v>
      </c>
      <c r="D15" s="11">
        <v>620</v>
      </c>
      <c r="E15" s="10" t="s">
        <v>32</v>
      </c>
      <c r="F15" s="10" t="s">
        <v>40</v>
      </c>
      <c r="G15" s="12">
        <v>44276.564432870371</v>
      </c>
      <c r="H15" s="10" t="s">
        <v>40</v>
      </c>
      <c r="I15" s="12">
        <v>44276.408888888887</v>
      </c>
      <c r="J15" s="13">
        <f>MONTH(Tabela1[[#This Row],[VENCIMENTO]])</f>
        <v>3</v>
      </c>
      <c r="K15" s="13">
        <f>YEAR(Tabela1[[#This Row],[VENCIMENTO]])</f>
        <v>2021</v>
      </c>
      <c r="L15" s="13" t="s">
        <v>38</v>
      </c>
    </row>
    <row r="16" spans="2:12" ht="18.75" x14ac:dyDescent="0.3">
      <c r="B16" s="14">
        <v>44260</v>
      </c>
      <c r="C16" s="10" t="s">
        <v>27</v>
      </c>
      <c r="D16" s="11">
        <v>34.9</v>
      </c>
      <c r="E16" s="10" t="s">
        <v>3</v>
      </c>
      <c r="F16" s="10" t="s">
        <v>40</v>
      </c>
      <c r="G16" s="10" t="s">
        <v>41</v>
      </c>
      <c r="H16" s="10" t="s">
        <v>40</v>
      </c>
      <c r="I16" s="10" t="s">
        <v>41</v>
      </c>
      <c r="J16" s="13">
        <f>MONTH(Tabela1[[#This Row],[VENCIMENTO]])</f>
        <v>3</v>
      </c>
      <c r="K16" s="13">
        <f>YEAR(Tabela1[[#This Row],[VENCIMENTO]])</f>
        <v>2021</v>
      </c>
      <c r="L16" s="13" t="s">
        <v>38</v>
      </c>
    </row>
    <row r="17" spans="2:12" ht="18.75" x14ac:dyDescent="0.3">
      <c r="B17" s="14">
        <v>44256</v>
      </c>
      <c r="C17" s="10" t="s">
        <v>28</v>
      </c>
      <c r="D17" s="11">
        <v>133</v>
      </c>
      <c r="E17" s="10" t="s">
        <v>32</v>
      </c>
      <c r="F17" s="10" t="s">
        <v>40</v>
      </c>
      <c r="G17" s="10" t="s">
        <v>41</v>
      </c>
      <c r="H17" s="10" t="s">
        <v>40</v>
      </c>
      <c r="I17" s="10" t="s">
        <v>41</v>
      </c>
      <c r="J17" s="13">
        <f>MONTH(Tabela1[[#This Row],[VENCIMENTO]])</f>
        <v>3</v>
      </c>
      <c r="K17" s="13">
        <f>YEAR(Tabela1[[#This Row],[VENCIMENTO]])</f>
        <v>2021</v>
      </c>
      <c r="L17" s="13" t="s">
        <v>38</v>
      </c>
    </row>
    <row r="18" spans="2:12" ht="18.75" x14ac:dyDescent="0.3">
      <c r="B18" s="14">
        <v>44260</v>
      </c>
      <c r="C18" s="10" t="s">
        <v>29</v>
      </c>
      <c r="D18" s="11">
        <v>249.9</v>
      </c>
      <c r="E18" s="10" t="s">
        <v>3</v>
      </c>
      <c r="F18" s="10" t="s">
        <v>40</v>
      </c>
      <c r="G18" s="10" t="s">
        <v>41</v>
      </c>
      <c r="H18" s="10" t="s">
        <v>40</v>
      </c>
      <c r="I18" s="10" t="s">
        <v>41</v>
      </c>
      <c r="J18" s="13">
        <f>MONTH(Tabela1[[#This Row],[VENCIMENTO]])</f>
        <v>3</v>
      </c>
      <c r="K18" s="13">
        <f>YEAR(Tabela1[[#This Row],[VENCIMENTO]])</f>
        <v>2021</v>
      </c>
      <c r="L18" s="13" t="s">
        <v>38</v>
      </c>
    </row>
    <row r="19" spans="2:12" ht="18.75" x14ac:dyDescent="0.3">
      <c r="B19" s="14">
        <v>44261</v>
      </c>
      <c r="C19" s="10" t="s">
        <v>30</v>
      </c>
      <c r="D19" s="11">
        <v>79.900000000000006</v>
      </c>
      <c r="E19" s="10" t="s">
        <v>3</v>
      </c>
      <c r="F19" s="10" t="s">
        <v>40</v>
      </c>
      <c r="G19" s="10" t="s">
        <v>41</v>
      </c>
      <c r="H19" s="10" t="s">
        <v>40</v>
      </c>
      <c r="I19" s="10" t="s">
        <v>41</v>
      </c>
      <c r="J19" s="13">
        <f>MONTH(Tabela1[[#This Row],[VENCIMENTO]])</f>
        <v>3</v>
      </c>
      <c r="K19" s="13">
        <f>YEAR(Tabela1[[#This Row],[VENCIMENTO]])</f>
        <v>2021</v>
      </c>
      <c r="L19" s="13" t="s">
        <v>38</v>
      </c>
    </row>
    <row r="20" spans="2:12" ht="18.75" x14ac:dyDescent="0.3">
      <c r="B20" s="14">
        <v>44261</v>
      </c>
      <c r="C20" s="10" t="s">
        <v>31</v>
      </c>
      <c r="D20" s="11">
        <v>79.900000000000006</v>
      </c>
      <c r="E20" s="10" t="s">
        <v>3</v>
      </c>
      <c r="F20" s="10" t="s">
        <v>40</v>
      </c>
      <c r="G20" s="10" t="s">
        <v>41</v>
      </c>
      <c r="H20" s="10" t="s">
        <v>40</v>
      </c>
      <c r="I20" s="10" t="s">
        <v>41</v>
      </c>
      <c r="J20" s="13">
        <f>MONTH(Tabela1[[#This Row],[VENCIMENTO]])</f>
        <v>3</v>
      </c>
      <c r="K20" s="13">
        <f>YEAR(Tabela1[[#This Row],[VENCIMENTO]])</f>
        <v>2021</v>
      </c>
      <c r="L20" s="13" t="s">
        <v>38</v>
      </c>
    </row>
    <row r="21" spans="2:12" ht="18.75" x14ac:dyDescent="0.3">
      <c r="B21" s="14">
        <v>44258</v>
      </c>
      <c r="C21" s="10" t="s">
        <v>28</v>
      </c>
      <c r="D21" s="11">
        <v>14.5</v>
      </c>
      <c r="E21" s="10" t="s">
        <v>32</v>
      </c>
      <c r="F21" s="10" t="s">
        <v>40</v>
      </c>
      <c r="G21" s="10" t="s">
        <v>41</v>
      </c>
      <c r="H21" s="10" t="s">
        <v>40</v>
      </c>
      <c r="I21" s="10" t="s">
        <v>41</v>
      </c>
      <c r="J21" s="13">
        <f>MONTH(Tabela1[[#This Row],[VENCIMENTO]])</f>
        <v>3</v>
      </c>
      <c r="K21" s="13">
        <f>YEAR(Tabela1[[#This Row],[VENCIMENTO]])</f>
        <v>2021</v>
      </c>
      <c r="L21" s="13" t="s">
        <v>38</v>
      </c>
    </row>
    <row r="22" spans="2:12" ht="18.75" x14ac:dyDescent="0.3">
      <c r="B22" s="14">
        <v>44290</v>
      </c>
      <c r="C22" s="10" t="s">
        <v>33</v>
      </c>
      <c r="D22" s="11">
        <v>1680</v>
      </c>
      <c r="E22" s="10" t="s">
        <v>3</v>
      </c>
      <c r="F22" s="10" t="s">
        <v>40</v>
      </c>
      <c r="G22" s="12">
        <v>44276.564444444448</v>
      </c>
      <c r="H22" s="10" t="s">
        <v>40</v>
      </c>
      <c r="I22" s="12">
        <v>44276.408888888887</v>
      </c>
      <c r="J22" s="13">
        <f>MONTH(Tabela1[[#This Row],[VENCIMENTO]])</f>
        <v>4</v>
      </c>
      <c r="K22" s="13">
        <f>YEAR(Tabela1[[#This Row],[VENCIMENTO]])</f>
        <v>2021</v>
      </c>
      <c r="L22" s="13" t="s">
        <v>38</v>
      </c>
    </row>
    <row r="23" spans="2:12" ht="18.75" x14ac:dyDescent="0.3">
      <c r="B23" s="14">
        <v>44290</v>
      </c>
      <c r="C23" s="10" t="s">
        <v>34</v>
      </c>
      <c r="D23" s="11">
        <v>1399</v>
      </c>
      <c r="E23" s="10" t="s">
        <v>3</v>
      </c>
      <c r="F23" s="10" t="s">
        <v>40</v>
      </c>
      <c r="G23" s="12">
        <v>44276.564456018517</v>
      </c>
      <c r="H23" s="10" t="s">
        <v>40</v>
      </c>
      <c r="I23" s="12">
        <v>44276.408888888887</v>
      </c>
      <c r="J23" s="13">
        <f>MONTH(Tabela1[[#This Row],[VENCIMENTO]])</f>
        <v>4</v>
      </c>
      <c r="K23" s="13">
        <f>YEAR(Tabela1[[#This Row],[VENCIMENTO]])</f>
        <v>2021</v>
      </c>
      <c r="L23" s="13" t="s">
        <v>38</v>
      </c>
    </row>
    <row r="24" spans="2:12" ht="18.75" x14ac:dyDescent="0.3">
      <c r="B24" s="14">
        <v>44291</v>
      </c>
      <c r="C24" s="10" t="s">
        <v>18</v>
      </c>
      <c r="D24" s="11">
        <v>201.33</v>
      </c>
      <c r="E24" s="10" t="s">
        <v>32</v>
      </c>
      <c r="F24" s="10" t="s">
        <v>40</v>
      </c>
      <c r="G24" s="12">
        <v>44276.564467592594</v>
      </c>
      <c r="H24" s="10" t="s">
        <v>40</v>
      </c>
      <c r="I24" s="12">
        <v>44276.408888888887</v>
      </c>
      <c r="J24" s="13">
        <f>MONTH(Tabela1[[#This Row],[VENCIMENTO]])</f>
        <v>4</v>
      </c>
      <c r="K24" s="13">
        <f>YEAR(Tabela1[[#This Row],[VENCIMENTO]])</f>
        <v>2021</v>
      </c>
      <c r="L24" s="13" t="s">
        <v>38</v>
      </c>
    </row>
    <row r="25" spans="2:12" ht="18.75" x14ac:dyDescent="0.3">
      <c r="B25" s="14">
        <v>44298</v>
      </c>
      <c r="C25" s="10" t="s">
        <v>19</v>
      </c>
      <c r="D25" s="11">
        <v>54.68</v>
      </c>
      <c r="E25" s="10" t="s">
        <v>32</v>
      </c>
      <c r="F25" s="10" t="s">
        <v>40</v>
      </c>
      <c r="G25" s="12">
        <v>44276.564479166664</v>
      </c>
      <c r="H25" s="10" t="s">
        <v>40</v>
      </c>
      <c r="I25" s="12">
        <v>44276.408888888887</v>
      </c>
      <c r="J25" s="13">
        <f>MONTH(Tabela1[[#This Row],[VENCIMENTO]])</f>
        <v>4</v>
      </c>
      <c r="K25" s="13">
        <f>YEAR(Tabela1[[#This Row],[VENCIMENTO]])</f>
        <v>2021</v>
      </c>
      <c r="L25" s="13" t="s">
        <v>38</v>
      </c>
    </row>
    <row r="26" spans="2:12" ht="18.75" x14ac:dyDescent="0.3">
      <c r="B26" s="14">
        <v>44305</v>
      </c>
      <c r="C26" s="10" t="s">
        <v>20</v>
      </c>
      <c r="D26" s="11">
        <v>132.19999999999999</v>
      </c>
      <c r="E26" s="10" t="s">
        <v>32</v>
      </c>
      <c r="F26" s="10" t="s">
        <v>40</v>
      </c>
      <c r="G26" s="12">
        <v>44276.56449074074</v>
      </c>
      <c r="H26" s="10" t="s">
        <v>40</v>
      </c>
      <c r="I26" s="12">
        <v>44276.408888888887</v>
      </c>
      <c r="J26" s="13">
        <f>MONTH(Tabela1[[#This Row],[VENCIMENTO]])</f>
        <v>4</v>
      </c>
      <c r="K26" s="13">
        <f>YEAR(Tabela1[[#This Row],[VENCIMENTO]])</f>
        <v>2021</v>
      </c>
      <c r="L26" s="13" t="s">
        <v>38</v>
      </c>
    </row>
    <row r="27" spans="2:12" ht="18.75" x14ac:dyDescent="0.3">
      <c r="B27" s="14">
        <v>44307</v>
      </c>
      <c r="C27" s="10" t="s">
        <v>22</v>
      </c>
      <c r="D27" s="11">
        <v>2155</v>
      </c>
      <c r="E27" s="10" t="s">
        <v>32</v>
      </c>
      <c r="F27" s="10" t="s">
        <v>40</v>
      </c>
      <c r="G27" s="12">
        <v>44276.564502314817</v>
      </c>
      <c r="H27" s="10" t="s">
        <v>40</v>
      </c>
      <c r="I27" s="12">
        <v>44276.408888888887</v>
      </c>
      <c r="J27" s="13">
        <f>MONTH(Tabela1[[#This Row],[VENCIMENTO]])</f>
        <v>4</v>
      </c>
      <c r="K27" s="13">
        <f>YEAR(Tabela1[[#This Row],[VENCIMENTO]])</f>
        <v>2021</v>
      </c>
      <c r="L27" s="13" t="s">
        <v>38</v>
      </c>
    </row>
    <row r="28" spans="2:12" ht="18.75" x14ac:dyDescent="0.3">
      <c r="B28" s="14">
        <v>44315</v>
      </c>
      <c r="C28" s="10" t="s">
        <v>23</v>
      </c>
      <c r="D28" s="11">
        <v>350</v>
      </c>
      <c r="E28" s="10" t="s">
        <v>32</v>
      </c>
      <c r="F28" s="10" t="s">
        <v>40</v>
      </c>
      <c r="G28" s="12">
        <v>44276.564513888887</v>
      </c>
      <c r="H28" s="10" t="s">
        <v>40</v>
      </c>
      <c r="I28" s="12">
        <v>44276.408888888887</v>
      </c>
      <c r="J28" s="13">
        <f>MONTH(Tabela1[[#This Row],[VENCIMENTO]])</f>
        <v>4</v>
      </c>
      <c r="K28" s="13">
        <f>YEAR(Tabela1[[#This Row],[VENCIMENTO]])</f>
        <v>2021</v>
      </c>
      <c r="L28" s="13" t="s">
        <v>38</v>
      </c>
    </row>
    <row r="29" spans="2:12" ht="18.75" x14ac:dyDescent="0.3">
      <c r="B29" s="14">
        <v>44315</v>
      </c>
      <c r="C29" s="10" t="s">
        <v>24</v>
      </c>
      <c r="D29" s="11">
        <v>270</v>
      </c>
      <c r="E29" s="10" t="s">
        <v>32</v>
      </c>
      <c r="F29" s="10" t="s">
        <v>40</v>
      </c>
      <c r="G29" s="12">
        <v>44276.564525462964</v>
      </c>
      <c r="H29" s="10" t="s">
        <v>40</v>
      </c>
      <c r="I29" s="12">
        <v>44276.408888888887</v>
      </c>
      <c r="J29" s="13">
        <f>MONTH(Tabela1[[#This Row],[VENCIMENTO]])</f>
        <v>4</v>
      </c>
      <c r="K29" s="13">
        <f>YEAR(Tabela1[[#This Row],[VENCIMENTO]])</f>
        <v>2021</v>
      </c>
      <c r="L29" s="13" t="s">
        <v>38</v>
      </c>
    </row>
    <row r="30" spans="2:12" ht="18.75" x14ac:dyDescent="0.3">
      <c r="B30" s="14">
        <v>44291</v>
      </c>
      <c r="C30" s="10" t="s">
        <v>25</v>
      </c>
      <c r="D30" s="11">
        <v>1095</v>
      </c>
      <c r="E30" s="10" t="s">
        <v>3</v>
      </c>
      <c r="F30" s="10" t="s">
        <v>40</v>
      </c>
      <c r="G30" s="12">
        <v>44276.56453703704</v>
      </c>
      <c r="H30" s="10" t="s">
        <v>40</v>
      </c>
      <c r="I30" s="12">
        <v>44276.408888888887</v>
      </c>
      <c r="J30" s="13">
        <f>MONTH(Tabela1[[#This Row],[VENCIMENTO]])</f>
        <v>4</v>
      </c>
      <c r="K30" s="13">
        <f>YEAR(Tabela1[[#This Row],[VENCIMENTO]])</f>
        <v>2021</v>
      </c>
      <c r="L30" s="13" t="s">
        <v>38</v>
      </c>
    </row>
    <row r="31" spans="2:12" ht="18.75" x14ac:dyDescent="0.3">
      <c r="B31" s="14">
        <v>44315</v>
      </c>
      <c r="C31" s="10" t="s">
        <v>26</v>
      </c>
      <c r="D31" s="11">
        <v>533</v>
      </c>
      <c r="E31" s="10" t="s">
        <v>32</v>
      </c>
      <c r="F31" s="10" t="s">
        <v>40</v>
      </c>
      <c r="G31" s="12">
        <v>44276.56454861111</v>
      </c>
      <c r="H31" s="10" t="s">
        <v>40</v>
      </c>
      <c r="I31" s="12">
        <v>44276.408888888887</v>
      </c>
      <c r="J31" s="13">
        <f>MONTH(Tabela1[[#This Row],[VENCIMENTO]])</f>
        <v>4</v>
      </c>
      <c r="K31" s="13">
        <f>YEAR(Tabela1[[#This Row],[VENCIMENTO]])</f>
        <v>2021</v>
      </c>
      <c r="L31" s="13" t="s">
        <v>38</v>
      </c>
    </row>
    <row r="32" spans="2:12" ht="18.75" x14ac:dyDescent="0.3">
      <c r="B32" s="14">
        <v>44290</v>
      </c>
      <c r="C32" s="10" t="s">
        <v>27</v>
      </c>
      <c r="D32" s="11">
        <v>34.9</v>
      </c>
      <c r="E32" s="10" t="s">
        <v>3</v>
      </c>
      <c r="F32" s="10" t="s">
        <v>40</v>
      </c>
      <c r="G32" s="12">
        <v>44276.564560185187</v>
      </c>
      <c r="H32" s="10" t="s">
        <v>40</v>
      </c>
      <c r="I32" s="12">
        <v>44276.408900462964</v>
      </c>
      <c r="J32" s="13">
        <f>MONTH(Tabela1[[#This Row],[VENCIMENTO]])</f>
        <v>4</v>
      </c>
      <c r="K32" s="13">
        <f>YEAR(Tabela1[[#This Row],[VENCIMENTO]])</f>
        <v>2021</v>
      </c>
      <c r="L32" s="13" t="s">
        <v>38</v>
      </c>
    </row>
    <row r="33" spans="2:12" ht="18.75" x14ac:dyDescent="0.3">
      <c r="B33" s="14">
        <v>44290</v>
      </c>
      <c r="C33" s="10" t="s">
        <v>29</v>
      </c>
      <c r="D33" s="11">
        <v>249.9</v>
      </c>
      <c r="E33" s="10" t="s">
        <v>3</v>
      </c>
      <c r="F33" s="10" t="s">
        <v>40</v>
      </c>
      <c r="G33" s="12">
        <v>44276.564560185187</v>
      </c>
      <c r="H33" s="10" t="s">
        <v>40</v>
      </c>
      <c r="I33" s="12">
        <v>44276.408900462964</v>
      </c>
      <c r="J33" s="13">
        <f>MONTH(Tabela1[[#This Row],[VENCIMENTO]])</f>
        <v>4</v>
      </c>
      <c r="K33" s="13">
        <f>YEAR(Tabela1[[#This Row],[VENCIMENTO]])</f>
        <v>2021</v>
      </c>
      <c r="L33" s="13" t="s">
        <v>38</v>
      </c>
    </row>
    <row r="34" spans="2:12" ht="18.75" x14ac:dyDescent="0.3">
      <c r="B34" s="14">
        <v>44291</v>
      </c>
      <c r="C34" s="10" t="s">
        <v>30</v>
      </c>
      <c r="D34" s="11">
        <v>79.900000000000006</v>
      </c>
      <c r="E34" s="10" t="s">
        <v>3</v>
      </c>
      <c r="F34" s="10" t="s">
        <v>40</v>
      </c>
      <c r="G34" s="12">
        <v>44276.564571759256</v>
      </c>
      <c r="H34" s="10" t="s">
        <v>40</v>
      </c>
      <c r="I34" s="12">
        <v>44276.408900462964</v>
      </c>
      <c r="J34" s="13">
        <f>MONTH(Tabela1[[#This Row],[VENCIMENTO]])</f>
        <v>4</v>
      </c>
      <c r="K34" s="13">
        <f>YEAR(Tabela1[[#This Row],[VENCIMENTO]])</f>
        <v>2021</v>
      </c>
      <c r="L34" s="13" t="s">
        <v>38</v>
      </c>
    </row>
    <row r="35" spans="2:12" ht="18.75" x14ac:dyDescent="0.3">
      <c r="B35" s="14">
        <v>44291</v>
      </c>
      <c r="C35" s="10" t="s">
        <v>31</v>
      </c>
      <c r="D35" s="11">
        <v>79.900000000000006</v>
      </c>
      <c r="E35" s="10" t="s">
        <v>3</v>
      </c>
      <c r="F35" s="10" t="s">
        <v>40</v>
      </c>
      <c r="G35" s="12">
        <v>44276.564583333333</v>
      </c>
      <c r="H35" s="10" t="s">
        <v>40</v>
      </c>
      <c r="I35" s="12">
        <v>44276.408900462964</v>
      </c>
      <c r="J35" s="13">
        <f>MONTH(Tabela1[[#This Row],[VENCIMENTO]])</f>
        <v>4</v>
      </c>
      <c r="K35" s="13">
        <f>YEAR(Tabela1[[#This Row],[VENCIMENTO]])</f>
        <v>2021</v>
      </c>
      <c r="L35" s="13" t="s">
        <v>38</v>
      </c>
    </row>
    <row r="36" spans="2:12" ht="18.75" x14ac:dyDescent="0.3">
      <c r="B36" s="14">
        <v>44292</v>
      </c>
      <c r="C36" s="10" t="s">
        <v>28</v>
      </c>
      <c r="D36" s="11">
        <v>15</v>
      </c>
      <c r="E36" s="10" t="s">
        <v>32</v>
      </c>
      <c r="F36" s="10" t="s">
        <v>40</v>
      </c>
      <c r="G36" s="12">
        <v>44276.56459490741</v>
      </c>
      <c r="H36" s="10" t="s">
        <v>40</v>
      </c>
      <c r="I36" s="12">
        <v>44276.408900462964</v>
      </c>
      <c r="J36" s="13">
        <f>MONTH(Tabela1[[#This Row],[VENCIMENTO]])</f>
        <v>4</v>
      </c>
      <c r="K36" s="13">
        <f>YEAR(Tabela1[[#This Row],[VENCIMENTO]])</f>
        <v>2021</v>
      </c>
      <c r="L36" s="13" t="s">
        <v>38</v>
      </c>
    </row>
    <row r="37" spans="2:12" ht="18.75" x14ac:dyDescent="0.3">
      <c r="B37" s="14">
        <v>44321</v>
      </c>
      <c r="C37" s="10" t="s">
        <v>31</v>
      </c>
      <c r="D37" s="11">
        <v>79.900000000000006</v>
      </c>
      <c r="E37" s="10" t="s">
        <v>3</v>
      </c>
      <c r="F37" s="10" t="s">
        <v>40</v>
      </c>
      <c r="G37" s="12">
        <v>44276.564606481479</v>
      </c>
      <c r="H37" s="10" t="s">
        <v>40</v>
      </c>
      <c r="I37" s="12">
        <v>44276.408900462964</v>
      </c>
      <c r="J37" s="19">
        <f>MONTH(Tabela1[[#This Row],[VENCIMENTO]])</f>
        <v>5</v>
      </c>
      <c r="K37" s="19">
        <f>YEAR(Tabela1[[#This Row],[VENCIMENTO]])</f>
        <v>2021</v>
      </c>
      <c r="L37" s="13" t="s">
        <v>38</v>
      </c>
    </row>
    <row r="38" spans="2:12" ht="18.75" x14ac:dyDescent="0.3">
      <c r="B38" s="14">
        <v>44352</v>
      </c>
      <c r="C38" s="10" t="s">
        <v>31</v>
      </c>
      <c r="D38" s="11">
        <v>79.900000000000006</v>
      </c>
      <c r="E38" s="10" t="s">
        <v>3</v>
      </c>
      <c r="F38" s="10" t="s">
        <v>40</v>
      </c>
      <c r="G38" s="12">
        <v>44276.564942129633</v>
      </c>
      <c r="H38" s="10"/>
      <c r="I38" s="10"/>
      <c r="J38" s="19">
        <f>MONTH(Tabela1[[#This Row],[VENCIMENTO]])</f>
        <v>6</v>
      </c>
      <c r="K38" s="19">
        <f>YEAR(Tabela1[[#This Row],[VENCIMENTO]])</f>
        <v>2021</v>
      </c>
      <c r="L38" s="13" t="s">
        <v>38</v>
      </c>
    </row>
  </sheetData>
  <mergeCells count="1">
    <mergeCell ref="B2:L2"/>
  </mergeCells>
  <dataValidations count="2">
    <dataValidation type="list" allowBlank="1" showInputMessage="1" showErrorMessage="1" sqref="E5:E38" xr:uid="{2FDB2FE7-98EB-42BD-92BE-875A94580E50}">
      <formula1>"fixo,variável"</formula1>
    </dataValidation>
    <dataValidation type="list" allowBlank="1" showInputMessage="1" showErrorMessage="1" sqref="L5:L38" xr:uid="{494FBCE2-8E99-40E5-B7E2-B006E90CE198}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5" r:id="rId4" name="btExecuta">
          <controlPr defaultSize="0" autoLine="0" r:id="rId5">
            <anchor>
              <from>
                <xdr:col>1</xdr:col>
                <xdr:colOff>266700</xdr:colOff>
                <xdr:row>1</xdr:row>
                <xdr:rowOff>85725</xdr:rowOff>
              </from>
              <to>
                <xdr:col>2</xdr:col>
                <xdr:colOff>742950</xdr:colOff>
                <xdr:row>1</xdr:row>
                <xdr:rowOff>600075</xdr:rowOff>
              </to>
            </anchor>
          </controlPr>
        </control>
      </mc:Choice>
      <mc:Fallback>
        <control shapeId="1025" r:id="rId4" name="btExecuta"/>
      </mc:Fallback>
    </mc:AlternateContent>
    <mc:AlternateContent xmlns:mc="http://schemas.openxmlformats.org/markup-compatibility/2006">
      <mc:Choice Requires="x14">
        <control shapeId="1026" r:id="rId6" name="btExecuta2">
          <controlPr defaultSize="0" autoLine="0" r:id="rId7">
            <anchor>
              <from>
                <xdr:col>2</xdr:col>
                <xdr:colOff>1028700</xdr:colOff>
                <xdr:row>1</xdr:row>
                <xdr:rowOff>85725</xdr:rowOff>
              </from>
              <to>
                <xdr:col>3</xdr:col>
                <xdr:colOff>390525</xdr:colOff>
                <xdr:row>1</xdr:row>
                <xdr:rowOff>600075</xdr:rowOff>
              </to>
            </anchor>
          </controlPr>
        </control>
      </mc:Choice>
      <mc:Fallback>
        <control shapeId="1026" r:id="rId6" name="btExecuta2"/>
      </mc:Fallback>
    </mc:AlternateContent>
  </controls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CONTROLE</vt:lpstr>
      <vt:lpstr>DESPESAS</vt:lpstr>
      <vt:lpstr>EmailEnvio</vt:lpstr>
      <vt:lpstr>HorárioEnvio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Fernanda dos Santos Moraes Lemes</dc:creator>
  <cp:lastModifiedBy>Andrey Lopes Marques Ribeiro</cp:lastModifiedBy>
  <dcterms:created xsi:type="dcterms:W3CDTF">2021-02-26T13:00:39Z</dcterms:created>
  <dcterms:modified xsi:type="dcterms:W3CDTF">2024-11-24T20:51:01Z</dcterms:modified>
</cp:coreProperties>
</file>